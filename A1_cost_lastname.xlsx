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model" sheetId="1" state="visible" r:id="rId1"/>
    <sheet xmlns:r="http://schemas.openxmlformats.org/officeDocument/2006/relationships"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&quot;x&quot;"/>
  </numFmts>
  <fonts count="6">
    <font>
      <name val="Calibri"/>
      <family val="2"/>
      <color theme="1"/>
      <sz val="11"/>
      <scheme val="minor"/>
    </font>
    <font>
      <b val="1"/>
      <color rgb="00005E73"/>
      <sz val="14"/>
    </font>
    <font>
      <b val="1"/>
      <color rgb="00FFFFFF"/>
    </font>
    <font>
      <i val="1"/>
      <color rgb="00555555"/>
    </font>
    <font>
      <b val="1"/>
      <color rgb="00005E73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05E73"/>
      </patternFill>
    </fill>
    <fill>
      <patternFill patternType="solid">
        <fgColor rgb="00EEEEEE"/>
      </patternFill>
    </fill>
    <fill>
      <patternFill patternType="solid">
        <fgColor rgb="00E6F2F4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0" fillId="2" borderId="1" pivotButton="0" quotePrefix="0" xfId="0"/>
    <xf numFmtId="0" fontId="0" fillId="0" borderId="4" pivotButton="0" quotePrefix="0" xfId="0"/>
    <xf numFmtId="0" fontId="2" fillId="3" borderId="1" applyAlignment="1" pivotButton="0" quotePrefix="0" xfId="0">
      <alignment vertical="center" wrapText="1"/>
    </xf>
    <xf numFmtId="0" fontId="3" fillId="4" borderId="1" pivotButton="0" quotePrefix="0" xfId="0"/>
    <xf numFmtId="2" fontId="3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4" fontId="3" fillId="4" borderId="1" pivotButton="0" quotePrefix="0" xfId="0"/>
    <xf numFmtId="165" fontId="3" fillId="4" borderId="1" pivotButton="0" quotePrefix="0" xfId="0"/>
    <xf numFmtId="2" fontId="0" fillId="2" borderId="1" pivotButton="0" quotePrefix="0" xfId="0"/>
    <xf numFmtId="3" fontId="0" fillId="2" borderId="1" pivotButton="0" quotePrefix="0" xfId="0"/>
    <xf numFmtId="164" fontId="0" fillId="5" borderId="1" pivotButton="0" quotePrefix="0" xfId="0"/>
    <xf numFmtId="4" fontId="0" fillId="5" borderId="1" pivotButton="0" quotePrefix="0" xfId="0"/>
    <xf numFmtId="165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10" customWidth="1" min="12" max="12"/>
    <col width="34" customWidth="1" min="13" max="13"/>
  </cols>
  <sheetData>
    <row r="1">
      <c r="A1" s="1" t="inlineStr">
        <is>
          <t>A1 Token-cost template: cost per request, per month, per year</t>
        </is>
      </c>
    </row>
    <row r="2">
      <c r="A2" t="inlineStr">
        <is>
          <t>Orange cells: you enter values. Teal cells: formulas, do not overwrite. Prices in USD per 1 million tokens, from openrouter.ai/models (record the date you looked them up).</t>
        </is>
      </c>
    </row>
    <row r="3">
      <c r="A3" s="2" t="inlineStr">
        <is>
          <t>Prices looked up on (date):</t>
        </is>
      </c>
      <c r="B3" s="3" t="inlineStr"/>
      <c r="C3" s="4" t="n"/>
    </row>
    <row r="5" ht="48" customHeight="1">
      <c r="A5" s="5" t="inlineStr">
        <is>
          <t>Model ID (OpenRouter)</t>
        </is>
      </c>
      <c r="B5" s="5" t="inlineStr">
        <is>
          <t>Price input (USD / M tokens)</t>
        </is>
      </c>
      <c r="C5" s="5" t="inlineStr">
        <is>
          <t>Price output (USD / M tokens)</t>
        </is>
      </c>
      <c r="D5" s="5" t="inlineStr">
        <is>
          <t>Avg input tokens per request</t>
        </is>
      </c>
      <c r="E5" s="5" t="inlineStr">
        <is>
          <t>Avg output tokens per request (incl. reasoning)</t>
        </is>
      </c>
      <c r="F5" s="5" t="inlineStr">
        <is>
          <t>Requests per month</t>
        </is>
      </c>
      <c r="G5" s="5" t="inlineStr">
        <is>
          <t>Cost per request (USD)</t>
        </is>
      </c>
      <c r="H5" s="5" t="inlineStr">
        <is>
          <t>Cost per month (USD)</t>
        </is>
      </c>
      <c r="I5" s="5" t="inlineStr">
        <is>
          <t>Cost per year (USD)</t>
        </is>
      </c>
      <c r="J5" s="5" t="inlineStr">
        <is>
          <t>Cost ratio vs. cheapest</t>
        </is>
      </c>
      <c r="K5" s="5" t="inlineStr">
        <is>
          <t>Quality score (1-5)</t>
        </is>
      </c>
      <c r="L5" s="5" t="inlineStr">
        <is>
          <t>Latency (s)</t>
        </is>
      </c>
      <c r="M5" s="5" t="inlineStr">
        <is>
          <t>Notes (e.g. ':free' -&gt; shadow cost)</t>
        </is>
      </c>
    </row>
    <row r="6">
      <c r="A6" s="6" t="inlineStr">
        <is>
          <t>EXAMPLE (illustrative prices): example/frontier-model</t>
        </is>
      </c>
      <c r="B6" s="7" t="n">
        <v>3</v>
      </c>
      <c r="C6" s="7" t="n">
        <v>15</v>
      </c>
      <c r="D6" s="8" t="n">
        <v>1500</v>
      </c>
      <c r="E6" s="8" t="n">
        <v>500</v>
      </c>
      <c r="F6" s="8" t="n">
        <v>10000</v>
      </c>
      <c r="G6" s="9">
        <f>IF(A6="","",(D6*B6+E6*C6)/10^6)</f>
        <v/>
      </c>
      <c r="H6" s="10">
        <f>IF(A6="","",G6*F6)</f>
        <v/>
      </c>
      <c r="I6" s="10">
        <f>IF(A6="","",H6*12)</f>
        <v/>
      </c>
      <c r="J6" s="11">
        <f>IF(OR(A6="",MIN($H$6:$H$13)=0),"",H6/MIN($H$6:$H$13))</f>
        <v/>
      </c>
      <c r="K6" s="6" t="n">
        <v>4</v>
      </c>
      <c r="L6" s="6" t="n">
        <v>6</v>
      </c>
      <c r="M6" s="6" t="inlineStr">
        <is>
          <t>ILLUSTRATIVE numbers only - overwrite with your own model</t>
        </is>
      </c>
    </row>
    <row r="7">
      <c r="A7" s="6" t="inlineStr">
        <is>
          <t>EXAMPLE (illustrative prices): example/budget-model</t>
        </is>
      </c>
      <c r="B7" s="7" t="n">
        <v>0.15</v>
      </c>
      <c r="C7" s="7" t="n">
        <v>0.6</v>
      </c>
      <c r="D7" s="8" t="n">
        <v>1500</v>
      </c>
      <c r="E7" s="8" t="n">
        <v>500</v>
      </c>
      <c r="F7" s="8" t="n">
        <v>10000</v>
      </c>
      <c r="G7" s="9">
        <f>IF(A7="","",(D7*B7+E7*C7)/10^6)</f>
        <v/>
      </c>
      <c r="H7" s="10">
        <f>IF(A7="","",G7*F7)</f>
        <v/>
      </c>
      <c r="I7" s="10">
        <f>IF(A7="","",H7*12)</f>
        <v/>
      </c>
      <c r="J7" s="11">
        <f>IF(OR(A7="",MIN($H$6:$H$13)=0),"",H7/MIN($H$6:$H$13))</f>
        <v/>
      </c>
      <c r="K7" s="6" t="n">
        <v>3</v>
      </c>
      <c r="L7" s="6" t="n">
        <v>2</v>
      </c>
      <c r="M7" s="6" t="inlineStr">
        <is>
          <t>ILLUSTRATIVE numbers only - overwrite with your own model</t>
        </is>
      </c>
    </row>
    <row r="8">
      <c r="A8" s="3" t="n"/>
      <c r="B8" s="12" t="n"/>
      <c r="C8" s="12" t="n"/>
      <c r="D8" s="13" t="n"/>
      <c r="E8" s="13" t="n"/>
      <c r="F8" s="13" t="n"/>
      <c r="G8" s="14">
        <f>IF(A8="","",(D8*B8+E8*C8)/10^6)</f>
        <v/>
      </c>
      <c r="H8" s="15">
        <f>IF(A8="","",G8*F8)</f>
        <v/>
      </c>
      <c r="I8" s="15">
        <f>IF(A8="","",H8*12)</f>
        <v/>
      </c>
      <c r="J8" s="16">
        <f>IF(OR(A8="",MIN($H$6:$H$13)=0),"",H8/MIN($H$6:$H$13))</f>
        <v/>
      </c>
      <c r="K8" s="3" t="n"/>
      <c r="L8" s="3" t="n"/>
      <c r="M8" s="3" t="n"/>
    </row>
    <row r="9">
      <c r="A9" s="3" t="n"/>
      <c r="B9" s="12" t="n"/>
      <c r="C9" s="12" t="n"/>
      <c r="D9" s="13" t="n"/>
      <c r="E9" s="13" t="n"/>
      <c r="F9" s="13" t="n"/>
      <c r="G9" s="14">
        <f>IF(A9="","",(D9*B9+E9*C9)/10^6)</f>
        <v/>
      </c>
      <c r="H9" s="15">
        <f>IF(A9="","",G9*F9)</f>
        <v/>
      </c>
      <c r="I9" s="15">
        <f>IF(A9="","",H9*12)</f>
        <v/>
      </c>
      <c r="J9" s="16">
        <f>IF(OR(A9="",MIN($H$6:$H$13)=0),"",H9/MIN($H$6:$H$13))</f>
        <v/>
      </c>
      <c r="K9" s="3" t="n"/>
      <c r="L9" s="3" t="n"/>
      <c r="M9" s="3" t="n"/>
    </row>
    <row r="10">
      <c r="A10" s="3" t="n"/>
      <c r="B10" s="12" t="n"/>
      <c r="C10" s="12" t="n"/>
      <c r="D10" s="13" t="n"/>
      <c r="E10" s="13" t="n"/>
      <c r="F10" s="13" t="n"/>
      <c r="G10" s="14">
        <f>IF(A10="","",(D10*B10+E10*C10)/10^6)</f>
        <v/>
      </c>
      <c r="H10" s="15">
        <f>IF(A10="","",G10*F10)</f>
        <v/>
      </c>
      <c r="I10" s="15">
        <f>IF(A10="","",H10*12)</f>
        <v/>
      </c>
      <c r="J10" s="16">
        <f>IF(OR(A10="",MIN($H$6:$H$13)=0),"",H10/MIN($H$6:$H$13))</f>
        <v/>
      </c>
      <c r="K10" s="3" t="n"/>
      <c r="L10" s="3" t="n"/>
      <c r="M10" s="3" t="n"/>
    </row>
    <row r="11">
      <c r="A11" s="3" t="n"/>
      <c r="B11" s="12" t="n"/>
      <c r="C11" s="12" t="n"/>
      <c r="D11" s="13" t="n"/>
      <c r="E11" s="13" t="n"/>
      <c r="F11" s="13" t="n"/>
      <c r="G11" s="14">
        <f>IF(A11="","",(D11*B11+E11*C11)/10^6)</f>
        <v/>
      </c>
      <c r="H11" s="15">
        <f>IF(A11="","",G11*F11)</f>
        <v/>
      </c>
      <c r="I11" s="15">
        <f>IF(A11="","",H11*12)</f>
        <v/>
      </c>
      <c r="J11" s="16">
        <f>IF(OR(A11="",MIN($H$6:$H$13)=0),"",H11/MIN($H$6:$H$13))</f>
        <v/>
      </c>
      <c r="K11" s="3" t="n"/>
      <c r="L11" s="3" t="n"/>
      <c r="M11" s="3" t="n"/>
    </row>
    <row r="12">
      <c r="A12" s="3" t="n"/>
      <c r="B12" s="12" t="n"/>
      <c r="C12" s="12" t="n"/>
      <c r="D12" s="13" t="n"/>
      <c r="E12" s="13" t="n"/>
      <c r="F12" s="13" t="n"/>
      <c r="G12" s="14">
        <f>IF(A12="","",(D12*B12+E12*C12)/10^6)</f>
        <v/>
      </c>
      <c r="H12" s="15">
        <f>IF(A12="","",G12*F12)</f>
        <v/>
      </c>
      <c r="I12" s="15">
        <f>IF(A12="","",H12*12)</f>
        <v/>
      </c>
      <c r="J12" s="16">
        <f>IF(OR(A12="",MIN($H$6:$H$13)=0),"",H12/MIN($H$6:$H$13))</f>
        <v/>
      </c>
      <c r="K12" s="3" t="n"/>
      <c r="L12" s="3" t="n"/>
      <c r="M12" s="3" t="n"/>
    </row>
    <row r="13">
      <c r="A13" s="3" t="n"/>
      <c r="B13" s="12" t="n"/>
      <c r="C13" s="12" t="n"/>
      <c r="D13" s="13" t="n"/>
      <c r="E13" s="13" t="n"/>
      <c r="F13" s="13" t="n"/>
      <c r="G13" s="14">
        <f>IF(A13="","",(D13*B13+E13*C13)/10^6)</f>
        <v/>
      </c>
      <c r="H13" s="15">
        <f>IF(A13="","",G13*F13)</f>
        <v/>
      </c>
      <c r="I13" s="15">
        <f>IF(A13="","",H13*12)</f>
        <v/>
      </c>
      <c r="J13" s="16">
        <f>IF(OR(A13="",MIN($H$6:$H$13)=0),"",H13/MIN($H$6:$H$13))</f>
        <v/>
      </c>
      <c r="K13" s="3" t="n"/>
      <c r="L13" s="3" t="n"/>
      <c r="M13" s="3" t="n"/>
    </row>
    <row r="15">
      <c r="A15" s="17" t="inlineStr">
        <is>
          <t>Notes</t>
        </is>
      </c>
    </row>
    <row r="16" ht="32" customHeight="1">
      <c r="A16" s="18" t="inlineStr">
        <is>
          <t>Formula</t>
        </is>
      </c>
      <c r="B16" s="19" t="inlineStr">
        <is>
          <t>Cost per request = (input tokens x input price + output tokens x output price) / 1,000,000. Cost per month = cost per request x requests per month. Cost per year = cost per month x 12.</t>
        </is>
      </c>
    </row>
    <row r="17" ht="32" customHeight="1">
      <c r="A17" s="18" t="inlineStr">
        <is>
          <t>Reasoning tokens</t>
        </is>
      </c>
      <c r="B17" s="19" t="inlineStr">
        <is>
          <t>Reasoning ('thinking') tokens are billed as OUTPUT tokens. For reasoning models, include them in the output-token column (check the token count in the OpenRouter Activity log).</t>
        </is>
      </c>
    </row>
    <row r="18" ht="32" customHeight="1">
      <c r="A18" s="18" t="inlineStr">
        <is>
          <t>Shadow cost</t>
        </is>
      </c>
      <c r="B18" s="19" t="inlineStr">
        <is>
          <t>If you tested a ':free' model variant, enter the list price of the PAID version of the same model (if none exists: the nearest comparable paid model, named in the Notes column) and mark the row 'shadow cost' in the Notes column. A free endpoint is not free at scale: rate limits apply and some free endpoints may log prompts.</t>
        </is>
      </c>
    </row>
    <row r="19" ht="32" customHeight="1">
      <c r="A19" s="18" t="inlineStr">
        <is>
          <t>Cost ratio</t>
        </is>
      </c>
      <c r="B19" s="19" t="inlineStr">
        <is>
          <t>Each model's monthly cost divided by the cheapest model's monthly cost in this table (the example rows count too: overwrite or clear them before you submit).</t>
        </is>
      </c>
    </row>
    <row r="20" ht="32" customHeight="1">
      <c r="A20" s="18" t="inlineStr">
        <is>
          <t>Example rows</t>
        </is>
      </c>
      <c r="B20" s="19" t="inlineStr">
        <is>
          <t>Rows 6-7 use ILLUSTRATIVE prices to show how the formulas work. They are not current list prices. Overwrite them with your own models, or clear columns A-F and K-M. Do NOT delete the rows: the Sensitivity sheet links to them.</t>
        </is>
      </c>
    </row>
    <row r="21" ht="32" customHeight="1">
      <c r="A21" s="18" t="inlineStr">
        <is>
          <t>Currency</t>
        </is>
      </c>
      <c r="B21" s="19" t="inlineStr">
        <is>
          <t>OpenRouter lists prices in USD. If your memo reports EUR, state the exchange rate and date you used.</t>
        </is>
      </c>
    </row>
  </sheetData>
  <mergeCells count="7">
    <mergeCell ref="B16:M16"/>
    <mergeCell ref="B19:M19"/>
    <mergeCell ref="B3:C3"/>
    <mergeCell ref="B20:M20"/>
    <mergeCell ref="B17:M17"/>
    <mergeCell ref="B18:M18"/>
    <mergeCell ref="B21:M21"/>
  </mergeCells>
  <dataValidations count="1">
    <dataValidation sqref="K6:K13" showDropDown="0" showInputMessage="0" showErrorMessage="1" allowBlank="1" error="Quality score must be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6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Sensitivity: how robust is your recommendation?</t>
        </is>
      </c>
    </row>
    <row r="2">
      <c r="A2" t="inlineStr">
        <is>
          <t>All values are formulas linked to the 'Cost model' sheet. Monthly cost in USD. Use this to write one sentence in your memo: does the ranking of models change?</t>
        </is>
      </c>
    </row>
    <row r="4" ht="36" customHeight="1">
      <c r="A4" s="5" t="inlineStr">
        <is>
          <t>Model ID</t>
        </is>
      </c>
      <c r="B4" s="5" t="inlineStr">
        <is>
          <t>Base case (USD / month)</t>
        </is>
      </c>
      <c r="C4" s="5" t="inlineStr">
        <is>
          <t>Volume -50%</t>
        </is>
      </c>
      <c r="D4" s="5" t="inlineStr">
        <is>
          <t>Volume +50%</t>
        </is>
      </c>
      <c r="E4" s="5" t="inlineStr">
        <is>
          <t>Output length x2</t>
        </is>
      </c>
      <c r="F4" s="5" t="inlineStr">
        <is>
          <t>Volume +50% AND output x2</t>
        </is>
      </c>
      <c r="G4" s="5" t="inlineStr">
        <is>
          <t>Base case (USD / year)</t>
        </is>
      </c>
      <c r="H4" s="5" t="inlineStr">
        <is>
          <t>Worst case (USD / year)</t>
        </is>
      </c>
    </row>
    <row r="5">
      <c r="A5" s="20">
        <f>IF('Cost model'!A6="","",'Cost model'!A6)</f>
        <v/>
      </c>
      <c r="B5" s="21">
        <f>IF('Cost model'!A6="","",'Cost model'!H6)</f>
        <v/>
      </c>
      <c r="C5" s="21">
        <f>IF('Cost model'!A6="","",'Cost model'!H6*0.5)</f>
        <v/>
      </c>
      <c r="D5" s="21">
        <f>IF('Cost model'!A6="","",'Cost model'!H6*1.5)</f>
        <v/>
      </c>
      <c r="E5" s="21">
        <f>IF('Cost model'!A6="","",'Cost model'!F6*('Cost model'!D6*'Cost model'!B6+2*'Cost model'!E6*'Cost model'!C6)/10^6)</f>
        <v/>
      </c>
      <c r="F5" s="21">
        <f>IF('Cost model'!A6="","",1.5*'Cost model'!F6*('Cost model'!D6*'Cost model'!B6+2*'Cost model'!E6*'Cost model'!C6)/10^6)</f>
        <v/>
      </c>
      <c r="G5" s="21">
        <f>IF('Cost model'!A6="","",'Cost model'!I6)</f>
        <v/>
      </c>
      <c r="H5" s="21">
        <f>IF('Cost model'!A6="","",1.5*'Cost model'!F6*('Cost model'!D6*'Cost model'!B6+2*'Cost model'!E6*'Cost model'!C6)/10^6*12)</f>
        <v/>
      </c>
    </row>
    <row r="6">
      <c r="A6" s="20">
        <f>IF('Cost model'!A7="","",'Cost model'!A7)</f>
        <v/>
      </c>
      <c r="B6" s="21">
        <f>IF('Cost model'!A7="","",'Cost model'!H7)</f>
        <v/>
      </c>
      <c r="C6" s="21">
        <f>IF('Cost model'!A7="","",'Cost model'!H7*0.5)</f>
        <v/>
      </c>
      <c r="D6" s="21">
        <f>IF('Cost model'!A7="","",'Cost model'!H7*1.5)</f>
        <v/>
      </c>
      <c r="E6" s="21">
        <f>IF('Cost model'!A7="","",'Cost model'!F7*('Cost model'!D7*'Cost model'!B7+2*'Cost model'!E7*'Cost model'!C7)/10^6)</f>
        <v/>
      </c>
      <c r="F6" s="21">
        <f>IF('Cost model'!A7="","",1.5*'Cost model'!F7*('Cost model'!D7*'Cost model'!B7+2*'Cost model'!E7*'Cost model'!C7)/10^6)</f>
        <v/>
      </c>
      <c r="G6" s="21">
        <f>IF('Cost model'!A7="","",'Cost model'!I7)</f>
        <v/>
      </c>
      <c r="H6" s="21">
        <f>IF('Cost model'!A7="","",1.5*'Cost model'!F7*('Cost model'!D7*'Cost model'!B7+2*'Cost model'!E7*'Cost model'!C7)/10^6*12)</f>
        <v/>
      </c>
    </row>
    <row r="7">
      <c r="A7" s="22">
        <f>IF('Cost model'!A8="","",'Cost model'!A8)</f>
        <v/>
      </c>
      <c r="B7" s="15">
        <f>IF('Cost model'!A8="","",'Cost model'!H8)</f>
        <v/>
      </c>
      <c r="C7" s="15">
        <f>IF('Cost model'!A8="","",'Cost model'!H8*0.5)</f>
        <v/>
      </c>
      <c r="D7" s="15">
        <f>IF('Cost model'!A8="","",'Cost model'!H8*1.5)</f>
        <v/>
      </c>
      <c r="E7" s="15">
        <f>IF('Cost model'!A8="","",'Cost model'!F8*('Cost model'!D8*'Cost model'!B8+2*'Cost model'!E8*'Cost model'!C8)/10^6)</f>
        <v/>
      </c>
      <c r="F7" s="15">
        <f>IF('Cost model'!A8="","",1.5*'Cost model'!F8*('Cost model'!D8*'Cost model'!B8+2*'Cost model'!E8*'Cost model'!C8)/10^6)</f>
        <v/>
      </c>
      <c r="G7" s="15">
        <f>IF('Cost model'!A8="","",'Cost model'!I8)</f>
        <v/>
      </c>
      <c r="H7" s="15">
        <f>IF('Cost model'!A8="","",1.5*'Cost model'!F8*('Cost model'!D8*'Cost model'!B8+2*'Cost model'!E8*'Cost model'!C8)/10^6*12)</f>
        <v/>
      </c>
    </row>
    <row r="8">
      <c r="A8" s="22">
        <f>IF('Cost model'!A9="","",'Cost model'!A9)</f>
        <v/>
      </c>
      <c r="B8" s="15">
        <f>IF('Cost model'!A9="","",'Cost model'!H9)</f>
        <v/>
      </c>
      <c r="C8" s="15">
        <f>IF('Cost model'!A9="","",'Cost model'!H9*0.5)</f>
        <v/>
      </c>
      <c r="D8" s="15">
        <f>IF('Cost model'!A9="","",'Cost model'!H9*1.5)</f>
        <v/>
      </c>
      <c r="E8" s="15">
        <f>IF('Cost model'!A9="","",'Cost model'!F9*('Cost model'!D9*'Cost model'!B9+2*'Cost model'!E9*'Cost model'!C9)/10^6)</f>
        <v/>
      </c>
      <c r="F8" s="15">
        <f>IF('Cost model'!A9="","",1.5*'Cost model'!F9*('Cost model'!D9*'Cost model'!B9+2*'Cost model'!E9*'Cost model'!C9)/10^6)</f>
        <v/>
      </c>
      <c r="G8" s="15">
        <f>IF('Cost model'!A9="","",'Cost model'!I9)</f>
        <v/>
      </c>
      <c r="H8" s="15">
        <f>IF('Cost model'!A9="","",1.5*'Cost model'!F9*('Cost model'!D9*'Cost model'!B9+2*'Cost model'!E9*'Cost model'!C9)/10^6*12)</f>
        <v/>
      </c>
    </row>
    <row r="9">
      <c r="A9" s="22">
        <f>IF('Cost model'!A10="","",'Cost model'!A10)</f>
        <v/>
      </c>
      <c r="B9" s="15">
        <f>IF('Cost model'!A10="","",'Cost model'!H10)</f>
        <v/>
      </c>
      <c r="C9" s="15">
        <f>IF('Cost model'!A10="","",'Cost model'!H10*0.5)</f>
        <v/>
      </c>
      <c r="D9" s="15">
        <f>IF('Cost model'!A10="","",'Cost model'!H10*1.5)</f>
        <v/>
      </c>
      <c r="E9" s="15">
        <f>IF('Cost model'!A10="","",'Cost model'!F10*('Cost model'!D10*'Cost model'!B10+2*'Cost model'!E10*'Cost model'!C10)/10^6)</f>
        <v/>
      </c>
      <c r="F9" s="15">
        <f>IF('Cost model'!A10="","",1.5*'Cost model'!F10*('Cost model'!D10*'Cost model'!B10+2*'Cost model'!E10*'Cost model'!C10)/10^6)</f>
        <v/>
      </c>
      <c r="G9" s="15">
        <f>IF('Cost model'!A10="","",'Cost model'!I10)</f>
        <v/>
      </c>
      <c r="H9" s="15">
        <f>IF('Cost model'!A10="","",1.5*'Cost model'!F10*('Cost model'!D10*'Cost model'!B10+2*'Cost model'!E10*'Cost model'!C10)/10^6*12)</f>
        <v/>
      </c>
    </row>
    <row r="10">
      <c r="A10" s="22">
        <f>IF('Cost model'!A11="","",'Cost model'!A11)</f>
        <v/>
      </c>
      <c r="B10" s="15">
        <f>IF('Cost model'!A11="","",'Cost model'!H11)</f>
        <v/>
      </c>
      <c r="C10" s="15">
        <f>IF('Cost model'!A11="","",'Cost model'!H11*0.5)</f>
        <v/>
      </c>
      <c r="D10" s="15">
        <f>IF('Cost model'!A11="","",'Cost model'!H11*1.5)</f>
        <v/>
      </c>
      <c r="E10" s="15">
        <f>IF('Cost model'!A11="","",'Cost model'!F11*('Cost model'!D11*'Cost model'!B11+2*'Cost model'!E11*'Cost model'!C11)/10^6)</f>
        <v/>
      </c>
      <c r="F10" s="15">
        <f>IF('Cost model'!A11="","",1.5*'Cost model'!F11*('Cost model'!D11*'Cost model'!B11+2*'Cost model'!E11*'Cost model'!C11)/10^6)</f>
        <v/>
      </c>
      <c r="G10" s="15">
        <f>IF('Cost model'!A11="","",'Cost model'!I11)</f>
        <v/>
      </c>
      <c r="H10" s="15">
        <f>IF('Cost model'!A11="","",1.5*'Cost model'!F11*('Cost model'!D11*'Cost model'!B11+2*'Cost model'!E11*'Cost model'!C11)/10^6*12)</f>
        <v/>
      </c>
    </row>
    <row r="11">
      <c r="A11" s="22">
        <f>IF('Cost model'!A12="","",'Cost model'!A12)</f>
        <v/>
      </c>
      <c r="B11" s="15">
        <f>IF('Cost model'!A12="","",'Cost model'!H12)</f>
        <v/>
      </c>
      <c r="C11" s="15">
        <f>IF('Cost model'!A12="","",'Cost model'!H12*0.5)</f>
        <v/>
      </c>
      <c r="D11" s="15">
        <f>IF('Cost model'!A12="","",'Cost model'!H12*1.5)</f>
        <v/>
      </c>
      <c r="E11" s="15">
        <f>IF('Cost model'!A12="","",'Cost model'!F12*('Cost model'!D12*'Cost model'!B12+2*'Cost model'!E12*'Cost model'!C12)/10^6)</f>
        <v/>
      </c>
      <c r="F11" s="15">
        <f>IF('Cost model'!A12="","",1.5*'Cost model'!F12*('Cost model'!D12*'Cost model'!B12+2*'Cost model'!E12*'Cost model'!C12)/10^6)</f>
        <v/>
      </c>
      <c r="G11" s="15">
        <f>IF('Cost model'!A12="","",'Cost model'!I12)</f>
        <v/>
      </c>
      <c r="H11" s="15">
        <f>IF('Cost model'!A12="","",1.5*'Cost model'!F12*('Cost model'!D12*'Cost model'!B12+2*'Cost model'!E12*'Cost model'!C12)/10^6*12)</f>
        <v/>
      </c>
    </row>
    <row r="12">
      <c r="A12" s="22">
        <f>IF('Cost model'!A13="","",'Cost model'!A13)</f>
        <v/>
      </c>
      <c r="B12" s="15">
        <f>IF('Cost model'!A13="","",'Cost model'!H13)</f>
        <v/>
      </c>
      <c r="C12" s="15">
        <f>IF('Cost model'!A13="","",'Cost model'!H13*0.5)</f>
        <v/>
      </c>
      <c r="D12" s="15">
        <f>IF('Cost model'!A13="","",'Cost model'!H13*1.5)</f>
        <v/>
      </c>
      <c r="E12" s="15">
        <f>IF('Cost model'!A13="","",'Cost model'!F13*('Cost model'!D13*'Cost model'!B13+2*'Cost model'!E13*'Cost model'!C13)/10^6)</f>
        <v/>
      </c>
      <c r="F12" s="15">
        <f>IF('Cost model'!A13="","",1.5*'Cost model'!F13*('Cost model'!D13*'Cost model'!B13+2*'Cost model'!E13*'Cost model'!C13)/10^6)</f>
        <v/>
      </c>
      <c r="G12" s="15">
        <f>IF('Cost model'!A13="","",'Cost model'!I13)</f>
        <v/>
      </c>
      <c r="H12" s="15">
        <f>IF('Cost model'!A13="","",1.5*'Cost model'!F13*('Cost model'!D13*'Cost model'!B13+2*'Cost model'!E13*'Cost model'!C13)/10^6*12)</f>
        <v/>
      </c>
    </row>
    <row r="15" ht="48" customHeight="1">
      <c r="A15" s="19" t="inlineStr">
        <is>
          <t>Why output x2? Output tokens are the expensive side, and reasoning models or longer answers can easily double them. Why +/-50% volume? Pilot volumes are guesses; a recommendation that flips under +/-50% needs a second look.</t>
        </is>
      </c>
    </row>
  </sheetData>
  <mergeCells count="1">
    <mergeCell ref="A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2026-10-10T14:23:26Z</dcterms:created>
  <dcterms:modified xmlns:dcterms="http://purl.org/dc/terms/" xmlns:xsi="http://www.w3.org/2001/XMLSchema-instance" xsi:type="dcterms:W3CDTF">2026-10-10T14:23:26Z</dcterms:modified>
</cp:coreProperties>
</file>